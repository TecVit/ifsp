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tsal" sheetId="1" state="visible" r:id="rId2"/>
    <sheet name="Voleibo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<sst xmlns="http://schemas.openxmlformats.org/spreadsheetml/2006/main" count="149" uniqueCount="87">
  <si>
    <t xml:space="preserve">Atividade – Torneio Interclasse</t>
  </si>
  <si>
    <t xml:space="preserve">Curso:</t>
  </si>
  <si>
    <t xml:space="preserve">Técnico em Informática Integrado ao Ensino Médio</t>
  </si>
  <si>
    <t xml:space="preserve">Disciplina:</t>
  </si>
  <si>
    <t xml:space="preserve">Técnicas Computacionais em Probabilidade e Estatística (ARQTCPE)</t>
  </si>
  <si>
    <t xml:space="preserve">Professor:</t>
  </si>
  <si>
    <t xml:space="preserve">Francisco Rocha Pirolla</t>
  </si>
  <si>
    <t xml:space="preserve">Nome:</t>
  </si>
  <si>
    <t xml:space="preserve">Vitor Custodio da Silva</t>
  </si>
  <si>
    <t xml:space="preserve">Prontuário:</t>
  </si>
  <si>
    <t xml:space="preserve">AQ3037461</t>
  </si>
  <si>
    <t xml:space="preserve">Futsal</t>
  </si>
  <si>
    <t xml:space="preserve">Turma</t>
  </si>
  <si>
    <t xml:space="preserve">Vitórias</t>
  </si>
  <si>
    <t xml:space="preserve">Empates</t>
  </si>
  <si>
    <t xml:space="preserve">Derrotas</t>
  </si>
  <si>
    <t xml:space="preserve">Gols pró</t>
  </si>
  <si>
    <t xml:space="preserve">Gols contra</t>
  </si>
  <si>
    <t xml:space="preserve">Faltas recebidas*</t>
  </si>
  <si>
    <t xml:space="preserve">Faltas cometidas*</t>
  </si>
  <si>
    <t xml:space="preserve">Jogos</t>
  </si>
  <si>
    <t xml:space="preserve">Saldo de gols</t>
  </si>
  <si>
    <t xml:space="preserve">Média gols por jogo</t>
  </si>
  <si>
    <t xml:space="preserve">Pontos</t>
  </si>
  <si>
    <t xml:space="preserve">Aproveitamento (%)</t>
  </si>
  <si>
    <t xml:space="preserve">4º MEC</t>
  </si>
  <si>
    <t xml:space="preserve">N/D</t>
  </si>
  <si>
    <t xml:space="preserve">2º MEC</t>
  </si>
  <si>
    <t xml:space="preserve">3º MEC</t>
  </si>
  <si>
    <t xml:space="preserve">2º INFO 2</t>
  </si>
  <si>
    <t xml:space="preserve">1º INFO 1</t>
  </si>
  <si>
    <t xml:space="preserve">1º MEC</t>
  </si>
  <si>
    <t xml:space="preserve">3º INFO 1</t>
  </si>
  <si>
    <t xml:space="preserve">3º INFO 2</t>
  </si>
  <si>
    <t xml:space="preserve">4º INFO</t>
  </si>
  <si>
    <t xml:space="preserve">*A Copa Fácil (fonte oficial) não disponibiliza contagem de faltas por turma. "Faltas cometidas" foi aproximada pela soma de cartões amarelos + vermelhos de cada turma (Rankings e votações → Penalidades). "Faltas recebidas" não pôde ser estimada a partir dos dados disponíveis (N/D).</t>
  </si>
  <si>
    <t xml:space="preserve">Responda:</t>
  </si>
  <si>
    <t xml:space="preserve">1. Qual é o saldo de gols de cada turma? (gols pró – gols contra)</t>
  </si>
  <si>
    <t xml:space="preserve">4º MEC +9; 2º MEC +4; 3º MEC +2; 2º INFO 2 +1; 1º INFO 1 -1; 1º MEC -4; 3º INFO 1 -4; 3º INFO 2 -5; 4º INFO -2 (coluna J da tabela).</t>
  </si>
  <si>
    <t xml:space="preserve">2. Calcule a média de gols por jogo de cada turma.</t>
  </si>
  <si>
    <t xml:space="preserve">4º MEC 3,00; 2º MEC 2,75; 4º INFO 2,33; 1º INFO 1 2,00; 3º MEC 1,67; 2º INFO 2 1,67; 1º MEC 1,50; 3º INFO 1 1,50; 3º INFO 2 0,75 (coluna K).</t>
  </si>
  <si>
    <t xml:space="preserve">3. Qual é a turma com a melhor média de gols marcados?</t>
  </si>
  <si>
    <t xml:space="preserve">4º MEC, com média de 3,00 gols por jogo.</t>
  </si>
  <si>
    <t xml:space="preserve">4. Considerando que cada vitória vale 3 pontos e cada empate vale 1 ponto, calcule a pontuação de cada equipe</t>
  </si>
  <si>
    <t xml:space="preserve">4º MEC 12; 2º MEC 6; 3º MEC 6; 2º INFO 2 6; 1º INFO 1 4; 1º MEC 4; 3º INFO 1 4; 3º INFO 2 3; 4º INFO 1 (coluna L).</t>
  </si>
  <si>
    <t xml:space="preserve">5. Qual é o aproveitamento (em %) de cada turma?*</t>
  </si>
  <si>
    <t xml:space="preserve">4º MEC 100%; 2º MEC 50%; 3º MEC 67%; 2º INFO 2 67%; 1º INFO 1 44%; 1º MEC 33%; 3º INFO 1 33%; 3º INFO 2 25%; 4º INFO 11% (coluna M).</t>
  </si>
  <si>
    <t xml:space="preserve">6. Qual turma obteve o melhor aproveitamento?</t>
  </si>
  <si>
    <t xml:space="preserve">4º MEC, com 100% de aproveitamento (venceu todos os 4 jogos).</t>
  </si>
  <si>
    <t xml:space="preserve">7. Qual é a turma com melhor ataque da competição?</t>
  </si>
  <si>
    <t xml:space="preserve">4º MEC, com 12 gols pró.</t>
  </si>
  <si>
    <t xml:space="preserve">8. Qual é a turma com melhor defesa da competição?</t>
  </si>
  <si>
    <t xml:space="preserve">4º MEC, com apenas 3 gols sofridos.</t>
  </si>
  <si>
    <t xml:space="preserve">9. Qual é a turma mais disciplinada do torneio?</t>
  </si>
  <si>
    <t xml:space="preserve">Considerando os cartões (amarelos + vermelhos) como aproximação de faltas cometidas (veja nota* acima da tabela), cinco turmas terminaram sem nenhum cartão: 4º MEC, 1º MEC, 3º INFO 1, 2º INFO 2 e 1º INFO 1. Entre as demais, a 3º INFO 2 foi a mais disciplinada, com apenas 1 cartão.</t>
  </si>
  <si>
    <t xml:space="preserve">10. Crie um gráfico considerando as colunas A, B, C e D.</t>
  </si>
  <si>
    <t xml:space="preserve">11. Crie um gráfico considerando as colunas A, E e F.</t>
  </si>
  <si>
    <t xml:space="preserve">12. Se fosse um torneio classificatório, considerando: Vitória: 3 pontos | Empate: 1 ponto – Qual seria a classificação do campeonato? (Crie uma nova tabela)</t>
  </si>
  <si>
    <t xml:space="preserve">Classificação</t>
  </si>
  <si>
    <t xml:space="preserve">*Salve este arquivo com o seu nome e envie no Moodle</t>
  </si>
  <si>
    <t xml:space="preserve">Voleibol</t>
  </si>
  <si>
    <t xml:space="preserve">Sets ganhos</t>
  </si>
  <si>
    <t xml:space="preserve">Sets perdidos</t>
  </si>
  <si>
    <t xml:space="preserve">Pontos feitos</t>
  </si>
  <si>
    <t xml:space="preserve">Pontos sofridos</t>
  </si>
  <si>
    <t xml:space="preserve">Saldo de pontos</t>
  </si>
  <si>
    <t xml:space="preserve">Média pontos por jogo</t>
  </si>
  <si>
    <t xml:space="preserve">2º INFO 1</t>
  </si>
  <si>
    <t xml:space="preserve">1. Qual é o saldo de pontos de cada turma? (pontos feitos – pontos sofridos)</t>
  </si>
  <si>
    <t xml:space="preserve">4º INFO +25; 3º INFO 1 +32; 3º INFO 2 +25; 4º MEC +24; 2º INFO 2 -3; 2º MEC -17; 1º MEC -7; 3º MEC -15; 2º INFO 1 -32; 1º INFO 1 -32 (coluna I).</t>
  </si>
  <si>
    <t xml:space="preserve">2. Calcule a média de pontos por jogo de cada turma.</t>
  </si>
  <si>
    <t xml:space="preserve">3º INFO 1 43,25; 4º INFO 39,25; 4º MEC 37,75; 1º MEC 36,75; 3º INFO 2 35,75; 2º INFO 2 34,50; 3º MEC 33,33; 2º MEC 26,75; 2º INFO 1 26,75; 1º INFO 1 23,67 (coluna J).</t>
  </si>
  <si>
    <t xml:space="preserve">3. Qual é a turma com a melhor média de pontos marcados?</t>
  </si>
  <si>
    <t xml:space="preserve">3º INFO 1, com média de 43,25 pontos por jogo.</t>
  </si>
  <si>
    <t xml:space="preserve">4. Qual é o aproveitamento (em %) de cada turma?*</t>
  </si>
  <si>
    <t xml:space="preserve">Como o vôlei não tem empates, a pontuação usada no cálculo é Vitórias × 3: 4º INFO 100%; 3º INFO 1 100%; 3º INFO 2 75%; 4º MEC 75%; 2º INFO 2 50%; 2º MEC 50%; 1º MEC 25%; 3º MEC 0%; 2º INFO 1 0%; 1º INFO 1 0% (coluna K).</t>
  </si>
  <si>
    <t xml:space="preserve">5. Qual turma obteve o melhor aproveitamento?</t>
  </si>
  <si>
    <t xml:space="preserve">4º INFO e 3º INFO 1 empatadas, ambas com 100% de aproveitamento (venceram os 4 jogos que disputaram).</t>
  </si>
  <si>
    <t xml:space="preserve">6. Qual é a turma com melhor ataque da competição?</t>
  </si>
  <si>
    <t xml:space="preserve">3º INFO 1, com 173 pontos feitos.</t>
  </si>
  <si>
    <t xml:space="preserve">7. Qual é a turma com melhor defesa da competição?</t>
  </si>
  <si>
    <t xml:space="preserve">1º INFO 1, com 103 pontos sofridos (mas jogou apenas 3 partidas, uma a menos que a maioria das turmas).</t>
  </si>
  <si>
    <t xml:space="preserve">8. Crie um gráfico considerando as colunas A, B, C e D.</t>
  </si>
  <si>
    <t xml:space="preserve">9. Crie um gráfico considerando as colunas A, F e G.</t>
  </si>
  <si>
    <t xml:space="preserve">10. Considerando o aproveitamento de cada turma, qual seria a classificação do campeonato? (Crie uma nova tabela)</t>
  </si>
  <si>
    <t xml:space="preserve">Para classificar a tabela acima selecione a tabela e utilize Menu Dados → Opção Ordenar… → Critério de ordenação: Coluna Aproveitamento → Decrescente.</t>
  </si>
  <si>
    <t xml:space="preserve">*O aproveitamento é calculado dividindo o número de pontos que o time acumulou pelo total de pontos que poderia ter se ganhasse todas as partidas.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</si>
</sst>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C9211E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5983B0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5983B0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Futsal – Vitórias, Empates e Derrotas por turma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Futsal!B13</c:f>
              <c:strCache>
                <c:ptCount val="1"/>
                <c:pt idx="0">
                  <c:v>Vitórias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Futsal!$A$14:$A$22</c:f>
              <c:strCache>
                <c:ptCount val="9"/>
                <c:pt idx="0">
                  <c:v>4º MEC</c:v>
                </c:pt>
                <c:pt idx="1">
                  <c:v>2º MEC</c:v>
                </c:pt>
                <c:pt idx="2">
                  <c:v>3º MEC</c:v>
                </c:pt>
                <c:pt idx="3">
                  <c:v>2º INFO 2</c:v>
                </c:pt>
                <c:pt idx="4">
                  <c:v>1º INFO 1</c:v>
                </c:pt>
                <c:pt idx="5">
                  <c:v>1º MEC</c:v>
                </c:pt>
                <c:pt idx="6">
                  <c:v>3º INFO 1</c:v>
                </c:pt>
                <c:pt idx="7">
                  <c:v>3º INFO 2</c:v>
                </c:pt>
                <c:pt idx="8">
                  <c:v>4º INFO</c:v>
                </c:pt>
              </c:strCache>
            </c:strRef>
          </c:cat>
          <c:val>
            <c:numRef>
              <c:f>Futsal!$B$14:$B$22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Futsal!C13</c:f>
              <c:strCache>
                <c:ptCount val="1"/>
                <c:pt idx="0">
                  <c:v>Empates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Futsal!$A$14:$A$22</c:f>
              <c:strCache>
                <c:ptCount val="9"/>
                <c:pt idx="0">
                  <c:v>4º MEC</c:v>
                </c:pt>
                <c:pt idx="1">
                  <c:v>2º MEC</c:v>
                </c:pt>
                <c:pt idx="2">
                  <c:v>3º MEC</c:v>
                </c:pt>
                <c:pt idx="3">
                  <c:v>2º INFO 2</c:v>
                </c:pt>
                <c:pt idx="4">
                  <c:v>1º INFO 1</c:v>
                </c:pt>
                <c:pt idx="5">
                  <c:v>1º MEC</c:v>
                </c:pt>
                <c:pt idx="6">
                  <c:v>3º INFO 1</c:v>
                </c:pt>
                <c:pt idx="7">
                  <c:v>3º INFO 2</c:v>
                </c:pt>
                <c:pt idx="8">
                  <c:v>4º INFO</c:v>
                </c:pt>
              </c:strCache>
            </c:strRef>
          </c:cat>
          <c:val>
            <c:numRef>
              <c:f>Futsal!$C$14:$C$22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</c:ser>
        <c:ser>
          <c:idx val="2"/>
          <c:order val="2"/>
          <c:tx>
            <c:strRef>
              <c:f>Futsal!D13</c:f>
              <c:strCache>
                <c:ptCount val="1"/>
                <c:pt idx="0">
                  <c:v>Derrotas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Futsal!$A$14:$A$22</c:f>
              <c:strCache>
                <c:ptCount val="9"/>
                <c:pt idx="0">
                  <c:v>4º MEC</c:v>
                </c:pt>
                <c:pt idx="1">
                  <c:v>2º MEC</c:v>
                </c:pt>
                <c:pt idx="2">
                  <c:v>3º MEC</c:v>
                </c:pt>
                <c:pt idx="3">
                  <c:v>2º INFO 2</c:v>
                </c:pt>
                <c:pt idx="4">
                  <c:v>1º INFO 1</c:v>
                </c:pt>
                <c:pt idx="5">
                  <c:v>1º MEC</c:v>
                </c:pt>
                <c:pt idx="6">
                  <c:v>3º INFO 1</c:v>
                </c:pt>
                <c:pt idx="7">
                  <c:v>3º INFO 2</c:v>
                </c:pt>
                <c:pt idx="8">
                  <c:v>4º INFO</c:v>
                </c:pt>
              </c:strCache>
            </c:strRef>
          </c:cat>
          <c:val>
            <c:numRef>
              <c:f>Futsal!$D$14:$D$22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</c:ser>
        <c:gapWidth val="150"/>
        <c:overlap val="0"/>
        <c:axId val="1869439"/>
        <c:axId val="55383458"/>
      </c:barChart>
      <c:catAx>
        <c:axId val="18694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83458"/>
        <c:crosses val="autoZero"/>
        <c:auto val="1"/>
        <c:lblAlgn val="ctr"/>
        <c:lblOffset val="100"/>
        <c:noMultiLvlLbl val="0"/>
      </c:catAx>
      <c:valAx>
        <c:axId val="55383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94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Futsal – Gols pró x Gols contra por turma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Futsal!E13</c:f>
              <c:strCache>
                <c:ptCount val="1"/>
                <c:pt idx="0">
                  <c:v>Gols pró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Futsal!$A$14:$A$22</c:f>
              <c:strCache>
                <c:ptCount val="9"/>
                <c:pt idx="0">
                  <c:v>4º MEC</c:v>
                </c:pt>
                <c:pt idx="1">
                  <c:v>2º MEC</c:v>
                </c:pt>
                <c:pt idx="2">
                  <c:v>3º MEC</c:v>
                </c:pt>
                <c:pt idx="3">
                  <c:v>2º INFO 2</c:v>
                </c:pt>
                <c:pt idx="4">
                  <c:v>1º INFO 1</c:v>
                </c:pt>
                <c:pt idx="5">
                  <c:v>1º MEC</c:v>
                </c:pt>
                <c:pt idx="6">
                  <c:v>3º INFO 1</c:v>
                </c:pt>
                <c:pt idx="7">
                  <c:v>3º INFO 2</c:v>
                </c:pt>
                <c:pt idx="8">
                  <c:v>4º INFO</c:v>
                </c:pt>
              </c:strCache>
            </c:strRef>
          </c:cat>
          <c:val>
            <c:numRef>
              <c:f>Futsal!$E$14:$E$22</c:f>
              <c:numCache>
                <c:formatCode>General</c:formatCode>
                <c:ptCount val="9"/>
                <c:pt idx="0">
                  <c:v>12</c:v>
                </c:pt>
                <c:pt idx="1">
                  <c:v>11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  <c:pt idx="8">
                  <c:v>7</c:v>
                </c:pt>
              </c:numCache>
            </c:numRef>
          </c:val>
        </c:ser>
        <c:ser>
          <c:idx val="1"/>
          <c:order val="1"/>
          <c:tx>
            <c:strRef>
              <c:f>Futsal!F13</c:f>
              <c:strCache>
                <c:ptCount val="1"/>
                <c:pt idx="0">
                  <c:v>Gols contra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Futsal!$A$14:$A$22</c:f>
              <c:strCache>
                <c:ptCount val="9"/>
                <c:pt idx="0">
                  <c:v>4º MEC</c:v>
                </c:pt>
                <c:pt idx="1">
                  <c:v>2º MEC</c:v>
                </c:pt>
                <c:pt idx="2">
                  <c:v>3º MEC</c:v>
                </c:pt>
                <c:pt idx="3">
                  <c:v>2º INFO 2</c:v>
                </c:pt>
                <c:pt idx="4">
                  <c:v>1º INFO 1</c:v>
                </c:pt>
                <c:pt idx="5">
                  <c:v>1º MEC</c:v>
                </c:pt>
                <c:pt idx="6">
                  <c:v>3º INFO 1</c:v>
                </c:pt>
                <c:pt idx="7">
                  <c:v>3º INFO 2</c:v>
                </c:pt>
                <c:pt idx="8">
                  <c:v>4º INFO</c:v>
                </c:pt>
              </c:strCache>
            </c:strRef>
          </c:cat>
          <c:val>
            <c:numRef>
              <c:f>Futsal!$F$14:$F$22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10</c:v>
                </c:pt>
                <c:pt idx="6">
                  <c:v>10</c:v>
                </c:pt>
                <c:pt idx="7">
                  <c:v>8</c:v>
                </c:pt>
                <c:pt idx="8">
                  <c:v>9</c:v>
                </c:pt>
              </c:numCache>
            </c:numRef>
          </c:val>
        </c:ser>
        <c:gapWidth val="150"/>
        <c:overlap val="0"/>
        <c:axId val="22076223"/>
        <c:axId val="37668631"/>
      </c:barChart>
      <c:catAx>
        <c:axId val="220762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68631"/>
        <c:crosses val="autoZero"/>
        <c:auto val="1"/>
        <c:lblAlgn val="ctr"/>
        <c:lblOffset val="100"/>
        <c:noMultiLvlLbl val="0"/>
      </c:catAx>
      <c:valAx>
        <c:axId val="376686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762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Vôlei – Vitórias, Derrotas e Sets ganhos por turma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Voleibol!B13</c:f>
              <c:strCache>
                <c:ptCount val="1"/>
                <c:pt idx="0">
                  <c:v>Vitórias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Voleibol!$A$14:$A$23</c:f>
              <c:strCache>
                <c:ptCount val="10"/>
                <c:pt idx="0">
                  <c:v>4º INFO</c:v>
                </c:pt>
                <c:pt idx="1">
                  <c:v>3º INFO 1</c:v>
                </c:pt>
                <c:pt idx="2">
                  <c:v>3º INFO 2</c:v>
                </c:pt>
                <c:pt idx="3">
                  <c:v>4º MEC</c:v>
                </c:pt>
                <c:pt idx="4">
                  <c:v>2º INFO 2</c:v>
                </c:pt>
                <c:pt idx="5">
                  <c:v>2º MEC</c:v>
                </c:pt>
                <c:pt idx="6">
                  <c:v>1º MEC</c:v>
                </c:pt>
                <c:pt idx="7">
                  <c:v>3º MEC</c:v>
                </c:pt>
                <c:pt idx="8">
                  <c:v>2º INFO 1</c:v>
                </c:pt>
                <c:pt idx="9">
                  <c:v>1º INFO 1</c:v>
                </c:pt>
              </c:strCache>
            </c:strRef>
          </c:cat>
          <c:val>
            <c:numRef>
              <c:f>Voleibol!$B$14:$B$23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Voleibol!C13</c:f>
              <c:strCache>
                <c:ptCount val="1"/>
                <c:pt idx="0">
                  <c:v>Derrotas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Voleibol!$A$14:$A$23</c:f>
              <c:strCache>
                <c:ptCount val="10"/>
                <c:pt idx="0">
                  <c:v>4º INFO</c:v>
                </c:pt>
                <c:pt idx="1">
                  <c:v>3º INFO 1</c:v>
                </c:pt>
                <c:pt idx="2">
                  <c:v>3º INFO 2</c:v>
                </c:pt>
                <c:pt idx="3">
                  <c:v>4º MEC</c:v>
                </c:pt>
                <c:pt idx="4">
                  <c:v>2º INFO 2</c:v>
                </c:pt>
                <c:pt idx="5">
                  <c:v>2º MEC</c:v>
                </c:pt>
                <c:pt idx="6">
                  <c:v>1º MEC</c:v>
                </c:pt>
                <c:pt idx="7">
                  <c:v>3º MEC</c:v>
                </c:pt>
                <c:pt idx="8">
                  <c:v>2º INFO 1</c:v>
                </c:pt>
                <c:pt idx="9">
                  <c:v>1º INFO 1</c:v>
                </c:pt>
              </c:strCache>
            </c:strRef>
          </c:cat>
          <c:val>
            <c:numRef>
              <c:f>Voleibol!$C$14:$C$23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</c:ser>
        <c:ser>
          <c:idx val="2"/>
          <c:order val="2"/>
          <c:tx>
            <c:strRef>
              <c:f>Voleibol!D13</c:f>
              <c:strCache>
                <c:ptCount val="1"/>
                <c:pt idx="0">
                  <c:v>Sets ganhos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Voleibol!$A$14:$A$23</c:f>
              <c:strCache>
                <c:ptCount val="10"/>
                <c:pt idx="0">
                  <c:v>4º INFO</c:v>
                </c:pt>
                <c:pt idx="1">
                  <c:v>3º INFO 1</c:v>
                </c:pt>
                <c:pt idx="2">
                  <c:v>3º INFO 2</c:v>
                </c:pt>
                <c:pt idx="3">
                  <c:v>4º MEC</c:v>
                </c:pt>
                <c:pt idx="4">
                  <c:v>2º INFO 2</c:v>
                </c:pt>
                <c:pt idx="5">
                  <c:v>2º MEC</c:v>
                </c:pt>
                <c:pt idx="6">
                  <c:v>1º MEC</c:v>
                </c:pt>
                <c:pt idx="7">
                  <c:v>3º MEC</c:v>
                </c:pt>
                <c:pt idx="8">
                  <c:v>2º INFO 1</c:v>
                </c:pt>
                <c:pt idx="9">
                  <c:v>1º INFO 1</c:v>
                </c:pt>
              </c:strCache>
            </c:strRef>
          </c:cat>
          <c:val>
            <c:numRef>
              <c:f>Voleibol!$D$14:$D$23</c:f>
              <c:numCache>
                <c:formatCode>General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88145420"/>
        <c:axId val="87127079"/>
      </c:barChart>
      <c:catAx>
        <c:axId val="881454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27079"/>
        <c:crosses val="autoZero"/>
        <c:auto val="1"/>
        <c:lblAlgn val="ctr"/>
        <c:lblOffset val="100"/>
        <c:noMultiLvlLbl val="0"/>
      </c:catAx>
      <c:valAx>
        <c:axId val="871270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454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Vôlei – Pontos feitos x Pontos sofridos por turma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Voleibol!F13</c:f>
              <c:strCache>
                <c:ptCount val="1"/>
                <c:pt idx="0">
                  <c:v>Pontos feitos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Voleibol!$A$14:$A$23</c:f>
              <c:strCache>
                <c:ptCount val="10"/>
                <c:pt idx="0">
                  <c:v>4º INFO</c:v>
                </c:pt>
                <c:pt idx="1">
                  <c:v>3º INFO 1</c:v>
                </c:pt>
                <c:pt idx="2">
                  <c:v>3º INFO 2</c:v>
                </c:pt>
                <c:pt idx="3">
                  <c:v>4º MEC</c:v>
                </c:pt>
                <c:pt idx="4">
                  <c:v>2º INFO 2</c:v>
                </c:pt>
                <c:pt idx="5">
                  <c:v>2º MEC</c:v>
                </c:pt>
                <c:pt idx="6">
                  <c:v>1º MEC</c:v>
                </c:pt>
                <c:pt idx="7">
                  <c:v>3º MEC</c:v>
                </c:pt>
                <c:pt idx="8">
                  <c:v>2º INFO 1</c:v>
                </c:pt>
                <c:pt idx="9">
                  <c:v>1º INFO 1</c:v>
                </c:pt>
              </c:strCache>
            </c:strRef>
          </c:cat>
          <c:val>
            <c:numRef>
              <c:f>Voleibol!$F$14:$F$23</c:f>
              <c:numCache>
                <c:formatCode>General</c:formatCode>
                <c:ptCount val="10"/>
                <c:pt idx="0">
                  <c:v>157</c:v>
                </c:pt>
                <c:pt idx="1">
                  <c:v>173</c:v>
                </c:pt>
                <c:pt idx="2">
                  <c:v>143</c:v>
                </c:pt>
                <c:pt idx="3">
                  <c:v>151</c:v>
                </c:pt>
                <c:pt idx="4">
                  <c:v>138</c:v>
                </c:pt>
                <c:pt idx="5">
                  <c:v>107</c:v>
                </c:pt>
                <c:pt idx="6">
                  <c:v>147</c:v>
                </c:pt>
                <c:pt idx="7">
                  <c:v>100</c:v>
                </c:pt>
                <c:pt idx="8">
                  <c:v>107</c:v>
                </c:pt>
                <c:pt idx="9">
                  <c:v>71</c:v>
                </c:pt>
              </c:numCache>
            </c:numRef>
          </c:val>
        </c:ser>
        <c:ser>
          <c:idx val="1"/>
          <c:order val="1"/>
          <c:tx>
            <c:strRef>
              <c:f>Voleibol!G13</c:f>
              <c:strCache>
                <c:ptCount val="1"/>
                <c:pt idx="0">
                  <c:v>Pontos sofridos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Voleibol!$A$14:$A$23</c:f>
              <c:strCache>
                <c:ptCount val="10"/>
                <c:pt idx="0">
                  <c:v>4º INFO</c:v>
                </c:pt>
                <c:pt idx="1">
                  <c:v>3º INFO 1</c:v>
                </c:pt>
                <c:pt idx="2">
                  <c:v>3º INFO 2</c:v>
                </c:pt>
                <c:pt idx="3">
                  <c:v>4º MEC</c:v>
                </c:pt>
                <c:pt idx="4">
                  <c:v>2º INFO 2</c:v>
                </c:pt>
                <c:pt idx="5">
                  <c:v>2º MEC</c:v>
                </c:pt>
                <c:pt idx="6">
                  <c:v>1º MEC</c:v>
                </c:pt>
                <c:pt idx="7">
                  <c:v>3º MEC</c:v>
                </c:pt>
                <c:pt idx="8">
                  <c:v>2º INFO 1</c:v>
                </c:pt>
                <c:pt idx="9">
                  <c:v>1º INFO 1</c:v>
                </c:pt>
              </c:strCache>
            </c:strRef>
          </c:cat>
          <c:val>
            <c:numRef>
              <c:f>Voleibol!$G$14:$G$23</c:f>
              <c:numCache>
                <c:formatCode>General</c:formatCode>
                <c:ptCount val="10"/>
                <c:pt idx="0">
                  <c:v>132</c:v>
                </c:pt>
                <c:pt idx="1">
                  <c:v>141</c:v>
                </c:pt>
                <c:pt idx="2">
                  <c:v>118</c:v>
                </c:pt>
                <c:pt idx="3">
                  <c:v>127</c:v>
                </c:pt>
                <c:pt idx="4">
                  <c:v>141</c:v>
                </c:pt>
                <c:pt idx="5">
                  <c:v>124</c:v>
                </c:pt>
                <c:pt idx="6">
                  <c:v>154</c:v>
                </c:pt>
                <c:pt idx="7">
                  <c:v>115</c:v>
                </c:pt>
                <c:pt idx="8">
                  <c:v>139</c:v>
                </c:pt>
                <c:pt idx="9">
                  <c:v>103</c:v>
                </c:pt>
              </c:numCache>
            </c:numRef>
          </c:val>
        </c:ser>
        <c:gapWidth val="150"/>
        <c:overlap val="0"/>
        <c:axId val="21593911"/>
        <c:axId val="76159700"/>
      </c:barChart>
      <c:catAx>
        <c:axId val="21593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59700"/>
        <c:crosses val="autoZero"/>
        <c:auto val="1"/>
        <c:lblAlgn val="ctr"/>
        <c:lblOffset val="100"/>
        <c:noMultiLvlLbl val="0"/>
      </c:catAx>
      <c:valAx>
        <c:axId val="761597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939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56</xdr:row>
      <xdr:rowOff>0</xdr:rowOff>
    </xdr:from>
    <xdr:to>
      <xdr:col>6</xdr:col>
      <xdr:colOff>700920</xdr:colOff>
      <xdr:row>71</xdr:row>
      <xdr:rowOff>21600</xdr:rowOff>
    </xdr:to>
    <xdr:graphicFrame>
      <xdr:nvGraphicFramePr>
        <xdr:cNvPr id="0" name="Chart 1"/>
        <xdr:cNvGraphicFramePr/>
      </xdr:nvGraphicFramePr>
      <xdr:xfrm>
        <a:off x="0" y="1267776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74</xdr:row>
      <xdr:rowOff>0</xdr:rowOff>
    </xdr:from>
    <xdr:to>
      <xdr:col>6</xdr:col>
      <xdr:colOff>700920</xdr:colOff>
      <xdr:row>89</xdr:row>
      <xdr:rowOff>21600</xdr:rowOff>
    </xdr:to>
    <xdr:graphicFrame>
      <xdr:nvGraphicFramePr>
        <xdr:cNvPr id="1" name="Chart 2"/>
        <xdr:cNvGraphicFramePr/>
      </xdr:nvGraphicFramePr>
      <xdr:xfrm>
        <a:off x="0" y="1610676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49</xdr:row>
      <xdr:rowOff>0</xdr:rowOff>
    </xdr:from>
    <xdr:to>
      <xdr:col>6</xdr:col>
      <xdr:colOff>167400</xdr:colOff>
      <xdr:row>64</xdr:row>
      <xdr:rowOff>21600</xdr:rowOff>
    </xdr:to>
    <xdr:graphicFrame>
      <xdr:nvGraphicFramePr>
        <xdr:cNvPr id="2" name="Chart 1"/>
        <xdr:cNvGraphicFramePr/>
      </xdr:nvGraphicFramePr>
      <xdr:xfrm>
        <a:off x="0" y="1074420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67</xdr:row>
      <xdr:rowOff>0</xdr:rowOff>
    </xdr:from>
    <xdr:to>
      <xdr:col>6</xdr:col>
      <xdr:colOff>167400</xdr:colOff>
      <xdr:row>82</xdr:row>
      <xdr:rowOff>21600</xdr:rowOff>
    </xdr:to>
    <xdr:graphicFrame>
      <xdr:nvGraphicFramePr>
        <xdr:cNvPr id="3" name="Chart 2"/>
        <xdr:cNvGraphicFramePr/>
      </xdr:nvGraphicFramePr>
      <xdr:xfrm>
        <a:off x="0" y="1417320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7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G106" activeCellId="0" sqref="G106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0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2" t="s">
        <v>5</v>
      </c>
      <c r="B5" s="3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7" customFormat="false" ht="15" hidden="false" customHeight="false" outlineLevel="0" collapsed="false">
      <c r="A7" s="2" t="s">
        <v>7</v>
      </c>
      <c r="B7" s="3" t="s">
        <v>8</v>
      </c>
      <c r="C7" s="3"/>
      <c r="D7" s="3"/>
      <c r="E7" s="3"/>
      <c r="F7" s="3"/>
      <c r="G7" s="2" t="s">
        <v>9</v>
      </c>
      <c r="H7" s="0" t="s">
        <v>10</v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1" customFormat="false" ht="21.75" hidden="false" customHeight="true" outlineLevel="0" collapsed="false">
      <c r="A11" s="5" t="s">
        <v>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customFormat="false" ht="30" hidden="false" customHeight="true" outlineLevel="0" collapsed="false">
      <c r="A13" s="6" t="s">
        <v>12</v>
      </c>
      <c r="B13" s="6" t="s">
        <v>13</v>
      </c>
      <c r="C13" s="6" t="s">
        <v>14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  <c r="K13" s="6" t="s">
        <v>22</v>
      </c>
      <c r="L13" s="6" t="s">
        <v>23</v>
      </c>
      <c r="M13" s="6" t="s">
        <v>24</v>
      </c>
    </row>
    <row r="14" customFormat="false" ht="15" hidden="false" customHeight="false" outlineLevel="0" collapsed="false">
      <c r="A14" s="7" t="s">
        <v>25</v>
      </c>
      <c r="B14" s="8" t="n">
        <v>4</v>
      </c>
      <c r="C14" s="8" t="n">
        <v>0</v>
      </c>
      <c r="D14" s="8" t="n">
        <v>0</v>
      </c>
      <c r="E14" s="8" t="n">
        <v>12</v>
      </c>
      <c r="F14" s="8" t="n">
        <v>3</v>
      </c>
      <c r="G14" s="8" t="s">
        <v>26</v>
      </c>
      <c r="H14" s="8" t="n">
        <v>0</v>
      </c>
      <c r="I14" s="8" t="n">
        <f aca="false">B14+C14+D14</f>
        <v>4</v>
      </c>
      <c r="J14" s="8" t="n">
        <f aca="false">E14-F14</f>
        <v>9</v>
      </c>
      <c r="K14" s="9" t="n">
        <f aca="false">E14/I14</f>
        <v>3</v>
      </c>
      <c r="L14" s="8" t="n">
        <f aca="false">B14*3+C14</f>
        <v>12</v>
      </c>
      <c r="M14" s="10" t="n">
        <f aca="false">L14/(I14*3)*100</f>
        <v>100</v>
      </c>
    </row>
    <row r="15" customFormat="false" ht="15" hidden="false" customHeight="false" outlineLevel="0" collapsed="false">
      <c r="A15" s="7" t="s">
        <v>27</v>
      </c>
      <c r="B15" s="8" t="n">
        <v>2</v>
      </c>
      <c r="C15" s="8" t="n">
        <v>0</v>
      </c>
      <c r="D15" s="8" t="n">
        <v>2</v>
      </c>
      <c r="E15" s="8" t="n">
        <v>11</v>
      </c>
      <c r="F15" s="8" t="n">
        <v>7</v>
      </c>
      <c r="G15" s="8" t="s">
        <v>26</v>
      </c>
      <c r="H15" s="8" t="n">
        <v>3</v>
      </c>
      <c r="I15" s="8" t="n">
        <f aca="false">B15+C15+D15</f>
        <v>4</v>
      </c>
      <c r="J15" s="8" t="n">
        <f aca="false">E15-F15</f>
        <v>4</v>
      </c>
      <c r="K15" s="9" t="n">
        <f aca="false">E15/I15</f>
        <v>2.75</v>
      </c>
      <c r="L15" s="8" t="n">
        <f aca="false">B15*3+C15</f>
        <v>6</v>
      </c>
      <c r="M15" s="10" t="n">
        <f aca="false">L15/(I15*3)*100</f>
        <v>50</v>
      </c>
    </row>
    <row r="16" customFormat="false" ht="15" hidden="false" customHeight="false" outlineLevel="0" collapsed="false">
      <c r="A16" s="7" t="s">
        <v>28</v>
      </c>
      <c r="B16" s="8" t="n">
        <v>2</v>
      </c>
      <c r="C16" s="8" t="n">
        <v>0</v>
      </c>
      <c r="D16" s="8" t="n">
        <v>1</v>
      </c>
      <c r="E16" s="8" t="n">
        <v>5</v>
      </c>
      <c r="F16" s="8" t="n">
        <v>3</v>
      </c>
      <c r="G16" s="8" t="s">
        <v>26</v>
      </c>
      <c r="H16" s="8" t="n">
        <v>2</v>
      </c>
      <c r="I16" s="8" t="n">
        <f aca="false">B16+C16+D16</f>
        <v>3</v>
      </c>
      <c r="J16" s="8" t="n">
        <f aca="false">E16-F16</f>
        <v>2</v>
      </c>
      <c r="K16" s="9" t="n">
        <f aca="false">E16/I16</f>
        <v>1.66666666666667</v>
      </c>
      <c r="L16" s="8" t="n">
        <f aca="false">B16*3+C16</f>
        <v>6</v>
      </c>
      <c r="M16" s="10" t="n">
        <f aca="false">L16/(I16*3)*100</f>
        <v>66.6666666666667</v>
      </c>
    </row>
    <row r="17" customFormat="false" ht="15" hidden="false" customHeight="false" outlineLevel="0" collapsed="false">
      <c r="A17" s="7" t="s">
        <v>29</v>
      </c>
      <c r="B17" s="8" t="n">
        <v>2</v>
      </c>
      <c r="C17" s="8" t="n">
        <v>0</v>
      </c>
      <c r="D17" s="8" t="n">
        <v>1</v>
      </c>
      <c r="E17" s="8" t="n">
        <v>5</v>
      </c>
      <c r="F17" s="8" t="n">
        <v>4</v>
      </c>
      <c r="G17" s="8" t="s">
        <v>26</v>
      </c>
      <c r="H17" s="8" t="n">
        <v>0</v>
      </c>
      <c r="I17" s="8" t="n">
        <f aca="false">B17+C17+D17</f>
        <v>3</v>
      </c>
      <c r="J17" s="8" t="n">
        <f aca="false">E17-F17</f>
        <v>1</v>
      </c>
      <c r="K17" s="9" t="n">
        <f aca="false">E17/I17</f>
        <v>1.66666666666667</v>
      </c>
      <c r="L17" s="8" t="n">
        <f aca="false">B17*3+C17</f>
        <v>6</v>
      </c>
      <c r="M17" s="10" t="n">
        <f aca="false">L17/(I17*3)*100</f>
        <v>66.6666666666667</v>
      </c>
    </row>
    <row r="18" customFormat="false" ht="15" hidden="false" customHeight="false" outlineLevel="0" collapsed="false">
      <c r="A18" s="7" t="s">
        <v>30</v>
      </c>
      <c r="B18" s="8" t="n">
        <v>1</v>
      </c>
      <c r="C18" s="8" t="n">
        <v>1</v>
      </c>
      <c r="D18" s="8" t="n">
        <v>1</v>
      </c>
      <c r="E18" s="8" t="n">
        <v>6</v>
      </c>
      <c r="F18" s="8" t="n">
        <v>7</v>
      </c>
      <c r="G18" s="8" t="s">
        <v>26</v>
      </c>
      <c r="H18" s="8" t="n">
        <v>0</v>
      </c>
      <c r="I18" s="8" t="n">
        <f aca="false">B18+C18+D18</f>
        <v>3</v>
      </c>
      <c r="J18" s="8" t="n">
        <f aca="false">E18-F18</f>
        <v>-1</v>
      </c>
      <c r="K18" s="9" t="n">
        <f aca="false">E18/I18</f>
        <v>2</v>
      </c>
      <c r="L18" s="8" t="n">
        <f aca="false">B18*3+C18</f>
        <v>4</v>
      </c>
      <c r="M18" s="10" t="n">
        <f aca="false">L18/(I18*3)*100</f>
        <v>44.4444444444444</v>
      </c>
    </row>
    <row r="19" customFormat="false" ht="15" hidden="false" customHeight="false" outlineLevel="0" collapsed="false">
      <c r="A19" s="7" t="s">
        <v>31</v>
      </c>
      <c r="B19" s="8" t="n">
        <v>1</v>
      </c>
      <c r="C19" s="8" t="n">
        <v>1</v>
      </c>
      <c r="D19" s="8" t="n">
        <v>2</v>
      </c>
      <c r="E19" s="8" t="n">
        <v>6</v>
      </c>
      <c r="F19" s="8" t="n">
        <v>10</v>
      </c>
      <c r="G19" s="8" t="s">
        <v>26</v>
      </c>
      <c r="H19" s="8" t="n">
        <v>0</v>
      </c>
      <c r="I19" s="8" t="n">
        <f aca="false">B19+C19+D19</f>
        <v>4</v>
      </c>
      <c r="J19" s="8" t="n">
        <f aca="false">E19-F19</f>
        <v>-4</v>
      </c>
      <c r="K19" s="9" t="n">
        <f aca="false">E19/I19</f>
        <v>1.5</v>
      </c>
      <c r="L19" s="8" t="n">
        <f aca="false">B19*3+C19</f>
        <v>4</v>
      </c>
      <c r="M19" s="10" t="n">
        <f aca="false">L19/(I19*3)*100</f>
        <v>33.3333333333333</v>
      </c>
    </row>
    <row r="20" customFormat="false" ht="15" hidden="false" customHeight="false" outlineLevel="0" collapsed="false">
      <c r="A20" s="7" t="s">
        <v>32</v>
      </c>
      <c r="B20" s="8" t="n">
        <v>1</v>
      </c>
      <c r="C20" s="8" t="n">
        <v>1</v>
      </c>
      <c r="D20" s="8" t="n">
        <v>2</v>
      </c>
      <c r="E20" s="8" t="n">
        <v>6</v>
      </c>
      <c r="F20" s="8" t="n">
        <v>10</v>
      </c>
      <c r="G20" s="8" t="s">
        <v>26</v>
      </c>
      <c r="H20" s="8" t="n">
        <v>0</v>
      </c>
      <c r="I20" s="8" t="n">
        <f aca="false">B20+C20+D20</f>
        <v>4</v>
      </c>
      <c r="J20" s="8" t="n">
        <f aca="false">E20-F20</f>
        <v>-4</v>
      </c>
      <c r="K20" s="9" t="n">
        <f aca="false">E20/I20</f>
        <v>1.5</v>
      </c>
      <c r="L20" s="8" t="n">
        <f aca="false">B20*3+C20</f>
        <v>4</v>
      </c>
      <c r="M20" s="10" t="n">
        <f aca="false">L20/(I20*3)*100</f>
        <v>33.3333333333333</v>
      </c>
    </row>
    <row r="21" customFormat="false" ht="15" hidden="false" customHeight="false" outlineLevel="0" collapsed="false">
      <c r="A21" s="7" t="s">
        <v>33</v>
      </c>
      <c r="B21" s="8" t="n">
        <v>1</v>
      </c>
      <c r="C21" s="8" t="n">
        <v>0</v>
      </c>
      <c r="D21" s="8" t="n">
        <v>3</v>
      </c>
      <c r="E21" s="8" t="n">
        <v>3</v>
      </c>
      <c r="F21" s="8" t="n">
        <v>8</v>
      </c>
      <c r="G21" s="8" t="s">
        <v>26</v>
      </c>
      <c r="H21" s="8" t="n">
        <v>1</v>
      </c>
      <c r="I21" s="8" t="n">
        <f aca="false">B21+C21+D21</f>
        <v>4</v>
      </c>
      <c r="J21" s="8" t="n">
        <f aca="false">E21-F21</f>
        <v>-5</v>
      </c>
      <c r="K21" s="9" t="n">
        <f aca="false">E21/I21</f>
        <v>0.75</v>
      </c>
      <c r="L21" s="8" t="n">
        <f aca="false">B21*3+C21</f>
        <v>3</v>
      </c>
      <c r="M21" s="10" t="n">
        <f aca="false">L21/(I21*3)*100</f>
        <v>25</v>
      </c>
    </row>
    <row r="22" customFormat="false" ht="15" hidden="false" customHeight="false" outlineLevel="0" collapsed="false">
      <c r="A22" s="7" t="s">
        <v>34</v>
      </c>
      <c r="B22" s="8" t="n">
        <v>0</v>
      </c>
      <c r="C22" s="8" t="n">
        <v>1</v>
      </c>
      <c r="D22" s="8" t="n">
        <v>2</v>
      </c>
      <c r="E22" s="8" t="n">
        <v>7</v>
      </c>
      <c r="F22" s="8" t="n">
        <v>9</v>
      </c>
      <c r="G22" s="8" t="s">
        <v>26</v>
      </c>
      <c r="H22" s="8" t="n">
        <v>3</v>
      </c>
      <c r="I22" s="8" t="n">
        <f aca="false">B22+C22+D22</f>
        <v>3</v>
      </c>
      <c r="J22" s="8" t="n">
        <f aca="false">E22-F22</f>
        <v>-2</v>
      </c>
      <c r="K22" s="9" t="n">
        <f aca="false">E22/I22</f>
        <v>2.33333333333333</v>
      </c>
      <c r="L22" s="8" t="n">
        <f aca="false">B22*3+C22</f>
        <v>1</v>
      </c>
      <c r="M22" s="10" t="n">
        <f aca="false">L22/(I22*3)*100</f>
        <v>11.1111111111111</v>
      </c>
    </row>
    <row r="24" customFormat="false" ht="27.75" hidden="false" customHeight="true" outlineLevel="0" collapsed="false">
      <c r="A24" s="11" t="s">
        <v>35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6" customFormat="false" ht="15" hidden="false" customHeight="false" outlineLevel="0" collapsed="false">
      <c r="A26" s="12" t="s">
        <v>36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8" customFormat="false" ht="15.75" hidden="false" customHeight="true" outlineLevel="0" collapsed="false">
      <c r="A28" s="13" t="s">
        <v>37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customFormat="false" ht="31.5" hidden="false" customHeight="true" outlineLevel="0" collapsed="false">
      <c r="A29" s="14" t="s">
        <v>38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1" customFormat="false" ht="15.75" hidden="false" customHeight="true" outlineLevel="0" collapsed="false">
      <c r="A31" s="13" t="s">
        <v>39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Format="false" ht="31.5" hidden="false" customHeight="true" outlineLevel="0" collapsed="false">
      <c r="A32" s="14" t="s">
        <v>40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4" customFormat="false" ht="15.75" hidden="false" customHeight="true" outlineLevel="0" collapsed="false">
      <c r="A34" s="13" t="s">
        <v>41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 customFormat="false" ht="15.75" hidden="false" customHeight="true" outlineLevel="0" collapsed="false">
      <c r="A35" s="14" t="s">
        <v>42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7" customFormat="false" ht="15.75" hidden="false" customHeight="true" outlineLevel="0" collapsed="false">
      <c r="A37" s="13" t="s">
        <v>43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customFormat="false" ht="31.5" hidden="false" customHeight="true" outlineLevel="0" collapsed="false">
      <c r="A38" s="14" t="s">
        <v>44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40" customFormat="false" ht="15.75" hidden="false" customHeight="true" outlineLevel="0" collapsed="false">
      <c r="A40" s="13" t="s">
        <v>45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customFormat="false" ht="31.5" hidden="false" customHeight="true" outlineLevel="0" collapsed="false">
      <c r="A41" s="14" t="s">
        <v>46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3" customFormat="false" ht="15.75" hidden="false" customHeight="true" outlineLevel="0" collapsed="false">
      <c r="A43" s="13" t="s">
        <v>47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customFormat="false" ht="15.75" hidden="false" customHeight="true" outlineLevel="0" collapsed="false">
      <c r="A44" s="14" t="s">
        <v>48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6" customFormat="false" ht="15.75" hidden="false" customHeight="true" outlineLevel="0" collapsed="false">
      <c r="A46" s="13" t="s">
        <v>49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customFormat="false" ht="15.75" hidden="false" customHeight="true" outlineLevel="0" collapsed="false">
      <c r="A47" s="14" t="s">
        <v>50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9" customFormat="false" ht="15.75" hidden="false" customHeight="true" outlineLevel="0" collapsed="false">
      <c r="A49" s="13" t="s">
        <v>51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customFormat="false" ht="15.75" hidden="false" customHeight="true" outlineLevel="0" collapsed="false">
      <c r="A50" s="14" t="s">
        <v>52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2" customFormat="false" ht="15.75" hidden="false" customHeight="true" outlineLevel="0" collapsed="false">
      <c r="A52" s="13" t="s">
        <v>53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customFormat="false" ht="48" hidden="false" customHeight="true" outlineLevel="0" collapsed="false">
      <c r="A53" s="14" t="s">
        <v>54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6" customFormat="false" ht="15" hidden="false" customHeight="false" outlineLevel="0" collapsed="false">
      <c r="A56" s="15" t="s">
        <v>55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74" customFormat="false" ht="15" hidden="false" customHeight="false" outlineLevel="0" collapsed="false">
      <c r="A74" s="15" t="s">
        <v>56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92" customFormat="false" ht="30" hidden="false" customHeight="true" outlineLevel="0" collapsed="false">
      <c r="A92" s="16" t="s">
        <v>57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</row>
    <row r="94" customFormat="false" ht="30" hidden="false" customHeight="true" outlineLevel="0" collapsed="false">
      <c r="A94" s="6" t="s">
        <v>12</v>
      </c>
      <c r="B94" s="6" t="s">
        <v>13</v>
      </c>
      <c r="C94" s="6" t="s">
        <v>14</v>
      </c>
      <c r="D94" s="6" t="s">
        <v>23</v>
      </c>
      <c r="E94" s="6" t="s">
        <v>58</v>
      </c>
    </row>
    <row r="95" customFormat="false" ht="15" hidden="false" customHeight="false" outlineLevel="0" collapsed="false">
      <c r="A95" s="7" t="s">
        <v>25</v>
      </c>
      <c r="B95" s="8" t="n">
        <v>4</v>
      </c>
      <c r="C95" s="8" t="n">
        <v>0</v>
      </c>
      <c r="D95" s="8" t="n">
        <v>12</v>
      </c>
      <c r="E95" s="8" t="n">
        <v>1</v>
      </c>
    </row>
    <row r="96" customFormat="false" ht="15" hidden="false" customHeight="false" outlineLevel="0" collapsed="false">
      <c r="A96" s="7" t="s">
        <v>27</v>
      </c>
      <c r="B96" s="8" t="n">
        <v>2</v>
      </c>
      <c r="C96" s="8" t="n">
        <v>0</v>
      </c>
      <c r="D96" s="8" t="n">
        <v>6</v>
      </c>
      <c r="E96" s="8" t="n">
        <v>2</v>
      </c>
    </row>
    <row r="97" customFormat="false" ht="15" hidden="false" customHeight="false" outlineLevel="0" collapsed="false">
      <c r="A97" s="7" t="s">
        <v>28</v>
      </c>
      <c r="B97" s="8" t="n">
        <v>2</v>
      </c>
      <c r="C97" s="8" t="n">
        <v>0</v>
      </c>
      <c r="D97" s="8" t="n">
        <v>6</v>
      </c>
      <c r="E97" s="8" t="n">
        <v>3</v>
      </c>
    </row>
    <row r="98" customFormat="false" ht="15" hidden="false" customHeight="false" outlineLevel="0" collapsed="false">
      <c r="A98" s="7" t="s">
        <v>29</v>
      </c>
      <c r="B98" s="8" t="n">
        <v>2</v>
      </c>
      <c r="C98" s="8" t="n">
        <v>0</v>
      </c>
      <c r="D98" s="8" t="n">
        <v>6</v>
      </c>
      <c r="E98" s="8" t="n">
        <v>4</v>
      </c>
    </row>
    <row r="99" customFormat="false" ht="15" hidden="false" customHeight="false" outlineLevel="0" collapsed="false">
      <c r="A99" s="7" t="s">
        <v>30</v>
      </c>
      <c r="B99" s="8" t="n">
        <v>1</v>
      </c>
      <c r="C99" s="8" t="n">
        <v>1</v>
      </c>
      <c r="D99" s="8" t="n">
        <v>4</v>
      </c>
      <c r="E99" s="8" t="n">
        <v>5</v>
      </c>
    </row>
    <row r="100" customFormat="false" ht="15" hidden="false" customHeight="false" outlineLevel="0" collapsed="false">
      <c r="A100" s="7" t="s">
        <v>31</v>
      </c>
      <c r="B100" s="8" t="n">
        <v>1</v>
      </c>
      <c r="C100" s="8" t="n">
        <v>1</v>
      </c>
      <c r="D100" s="8" t="n">
        <v>4</v>
      </c>
      <c r="E100" s="8" t="n">
        <v>6</v>
      </c>
    </row>
    <row r="101" customFormat="false" ht="15" hidden="false" customHeight="false" outlineLevel="0" collapsed="false">
      <c r="A101" s="7" t="s">
        <v>32</v>
      </c>
      <c r="B101" s="8" t="n">
        <v>1</v>
      </c>
      <c r="C101" s="8" t="n">
        <v>1</v>
      </c>
      <c r="D101" s="8" t="n">
        <v>4</v>
      </c>
      <c r="E101" s="8" t="n">
        <v>7</v>
      </c>
    </row>
    <row r="102" customFormat="false" ht="15" hidden="false" customHeight="false" outlineLevel="0" collapsed="false">
      <c r="A102" s="7" t="s">
        <v>33</v>
      </c>
      <c r="B102" s="8" t="n">
        <v>1</v>
      </c>
      <c r="C102" s="8" t="n">
        <v>0</v>
      </c>
      <c r="D102" s="8" t="n">
        <v>3</v>
      </c>
      <c r="E102" s="8" t="n">
        <v>8</v>
      </c>
    </row>
    <row r="103" customFormat="false" ht="15" hidden="false" customHeight="false" outlineLevel="0" collapsed="false">
      <c r="A103" s="7" t="s">
        <v>34</v>
      </c>
      <c r="B103" s="8" t="n">
        <v>0</v>
      </c>
      <c r="C103" s="8" t="n">
        <v>1</v>
      </c>
      <c r="D103" s="8" t="n">
        <v>1</v>
      </c>
      <c r="E103" s="8" t="n">
        <v>9</v>
      </c>
    </row>
    <row r="105" customFormat="false" ht="27.75" hidden="false" customHeight="tru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customFormat="false" ht="15" hidden="false" customHeight="fals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customFormat="false" ht="27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</row>
  </sheetData>
  <mergeCells count="32">
    <mergeCell ref="A1:M1"/>
    <mergeCell ref="B3:M3"/>
    <mergeCell ref="B4:M4"/>
    <mergeCell ref="B5:M5"/>
    <mergeCell ref="B7:F7"/>
    <mergeCell ref="A9:M9"/>
    <mergeCell ref="A11:M11"/>
    <mergeCell ref="A24:M24"/>
    <mergeCell ref="A26:M26"/>
    <mergeCell ref="A28:M28"/>
    <mergeCell ref="A29:M29"/>
    <mergeCell ref="A31:M31"/>
    <mergeCell ref="A32:M32"/>
    <mergeCell ref="A34:M34"/>
    <mergeCell ref="A35:M35"/>
    <mergeCell ref="A37:M37"/>
    <mergeCell ref="A38:M38"/>
    <mergeCell ref="A40:M40"/>
    <mergeCell ref="A41:M41"/>
    <mergeCell ref="A43:M43"/>
    <mergeCell ref="A44:M44"/>
    <mergeCell ref="A46:M46"/>
    <mergeCell ref="A47:M47"/>
    <mergeCell ref="A49:M49"/>
    <mergeCell ref="A50:M50"/>
    <mergeCell ref="A52:M52"/>
    <mergeCell ref="A53:M53"/>
    <mergeCell ref="A56:M56"/>
    <mergeCell ref="A74:M74"/>
    <mergeCell ref="A92:M92"/>
    <mergeCell ref="A105:M105"/>
    <mergeCell ref="A107:M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1" min="10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2" t="s">
        <v>5</v>
      </c>
      <c r="B5" s="3" t="s">
        <v>6</v>
      </c>
      <c r="C5" s="3"/>
      <c r="D5" s="3"/>
      <c r="E5" s="3"/>
      <c r="F5" s="3"/>
      <c r="G5" s="3"/>
      <c r="H5" s="3"/>
      <c r="I5" s="3"/>
      <c r="J5" s="3"/>
      <c r="K5" s="3"/>
    </row>
    <row r="7" customFormat="false" ht="15" hidden="false" customHeight="false" outlineLevel="0" collapsed="false">
      <c r="A7" s="2" t="s">
        <v>7</v>
      </c>
      <c r="B7" s="3" t="s">
        <v>8</v>
      </c>
      <c r="C7" s="3"/>
      <c r="D7" s="3"/>
      <c r="E7" s="3"/>
      <c r="F7" s="3"/>
      <c r="G7" s="2" t="s">
        <v>9</v>
      </c>
      <c r="H7" s="0" t="s">
        <v>10</v>
      </c>
    </row>
    <row r="9" customFormat="false" ht="15" hidden="false" customHeight="false" outlineLevel="0" collapsed="false">
      <c r="A9" s="4" t="s">
        <v>59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1" customFormat="false" ht="21.75" hidden="false" customHeight="true" outlineLevel="0" collapsed="false">
      <c r="A11" s="5" t="s">
        <v>60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3" customFormat="false" ht="30" hidden="false" customHeight="true" outlineLevel="0" collapsed="false">
      <c r="A13" s="6" t="s">
        <v>12</v>
      </c>
      <c r="B13" s="6" t="s">
        <v>13</v>
      </c>
      <c r="C13" s="6" t="s">
        <v>15</v>
      </c>
      <c r="D13" s="6" t="s">
        <v>61</v>
      </c>
      <c r="E13" s="6" t="s">
        <v>62</v>
      </c>
      <c r="F13" s="6" t="s">
        <v>63</v>
      </c>
      <c r="G13" s="6" t="s">
        <v>64</v>
      </c>
      <c r="H13" s="6" t="s">
        <v>20</v>
      </c>
      <c r="I13" s="6" t="s">
        <v>65</v>
      </c>
      <c r="J13" s="6" t="s">
        <v>66</v>
      </c>
      <c r="K13" s="6" t="s">
        <v>24</v>
      </c>
    </row>
    <row r="14" customFormat="false" ht="15" hidden="false" customHeight="false" outlineLevel="0" collapsed="false">
      <c r="A14" s="7" t="s">
        <v>34</v>
      </c>
      <c r="B14" s="8" t="n">
        <v>4</v>
      </c>
      <c r="C14" s="8" t="n">
        <v>0</v>
      </c>
      <c r="D14" s="8" t="n">
        <v>8</v>
      </c>
      <c r="E14" s="8" t="n">
        <v>1</v>
      </c>
      <c r="F14" s="8" t="n">
        <v>157</v>
      </c>
      <c r="G14" s="8" t="n">
        <v>132</v>
      </c>
      <c r="H14" s="8" t="n">
        <f aca="false">B14+C14</f>
        <v>4</v>
      </c>
      <c r="I14" s="8" t="n">
        <f aca="false">F14-G14</f>
        <v>25</v>
      </c>
      <c r="J14" s="9" t="n">
        <f aca="false">F14/H14</f>
        <v>39.25</v>
      </c>
      <c r="K14" s="10" t="n">
        <f aca="false">(B14*3)/(H14*3)*100</f>
        <v>100</v>
      </c>
    </row>
    <row r="15" customFormat="false" ht="15" hidden="false" customHeight="false" outlineLevel="0" collapsed="false">
      <c r="A15" s="7" t="s">
        <v>32</v>
      </c>
      <c r="B15" s="8" t="n">
        <v>4</v>
      </c>
      <c r="C15" s="8" t="n">
        <v>0</v>
      </c>
      <c r="D15" s="8" t="n">
        <v>8</v>
      </c>
      <c r="E15" s="8" t="n">
        <v>3</v>
      </c>
      <c r="F15" s="8" t="n">
        <v>173</v>
      </c>
      <c r="G15" s="8" t="n">
        <v>141</v>
      </c>
      <c r="H15" s="8" t="n">
        <f aca="false">B15+C15</f>
        <v>4</v>
      </c>
      <c r="I15" s="8" t="n">
        <f aca="false">F15-G15</f>
        <v>32</v>
      </c>
      <c r="J15" s="9" t="n">
        <f aca="false">F15/H15</f>
        <v>43.25</v>
      </c>
      <c r="K15" s="10" t="n">
        <f aca="false">(B15*3)/(H15*3)*100</f>
        <v>100</v>
      </c>
    </row>
    <row r="16" customFormat="false" ht="15" hidden="false" customHeight="false" outlineLevel="0" collapsed="false">
      <c r="A16" s="7" t="s">
        <v>33</v>
      </c>
      <c r="B16" s="8" t="n">
        <v>3</v>
      </c>
      <c r="C16" s="8" t="n">
        <v>1</v>
      </c>
      <c r="D16" s="8" t="n">
        <v>7</v>
      </c>
      <c r="E16" s="8" t="n">
        <v>2</v>
      </c>
      <c r="F16" s="8" t="n">
        <v>143</v>
      </c>
      <c r="G16" s="8" t="n">
        <v>118</v>
      </c>
      <c r="H16" s="8" t="n">
        <f aca="false">B16+C16</f>
        <v>4</v>
      </c>
      <c r="I16" s="8" t="n">
        <f aca="false">F16-G16</f>
        <v>25</v>
      </c>
      <c r="J16" s="9" t="n">
        <f aca="false">F16/H16</f>
        <v>35.75</v>
      </c>
      <c r="K16" s="10" t="n">
        <f aca="false">(B16*3)/(H16*3)*100</f>
        <v>75</v>
      </c>
    </row>
    <row r="17" customFormat="false" ht="15" hidden="false" customHeight="false" outlineLevel="0" collapsed="false">
      <c r="A17" s="7" t="s">
        <v>25</v>
      </c>
      <c r="B17" s="8" t="n">
        <v>3</v>
      </c>
      <c r="C17" s="8" t="n">
        <v>1</v>
      </c>
      <c r="D17" s="8" t="n">
        <v>7</v>
      </c>
      <c r="E17" s="8" t="n">
        <v>3</v>
      </c>
      <c r="F17" s="8" t="n">
        <v>151</v>
      </c>
      <c r="G17" s="8" t="n">
        <v>127</v>
      </c>
      <c r="H17" s="8" t="n">
        <f aca="false">B17+C17</f>
        <v>4</v>
      </c>
      <c r="I17" s="8" t="n">
        <f aca="false">F17-G17</f>
        <v>24</v>
      </c>
      <c r="J17" s="9" t="n">
        <f aca="false">F17/H17</f>
        <v>37.75</v>
      </c>
      <c r="K17" s="10" t="n">
        <f aca="false">(B17*3)/(H17*3)*100</f>
        <v>75</v>
      </c>
    </row>
    <row r="18" customFormat="false" ht="15" hidden="false" customHeight="false" outlineLevel="0" collapsed="false">
      <c r="A18" s="7" t="s">
        <v>29</v>
      </c>
      <c r="B18" s="8" t="n">
        <v>2</v>
      </c>
      <c r="C18" s="8" t="n">
        <v>2</v>
      </c>
      <c r="D18" s="8" t="n">
        <v>4</v>
      </c>
      <c r="E18" s="8" t="n">
        <v>5</v>
      </c>
      <c r="F18" s="8" t="n">
        <v>138</v>
      </c>
      <c r="G18" s="8" t="n">
        <v>141</v>
      </c>
      <c r="H18" s="8" t="n">
        <f aca="false">B18+C18</f>
        <v>4</v>
      </c>
      <c r="I18" s="8" t="n">
        <f aca="false">F18-G18</f>
        <v>-3</v>
      </c>
      <c r="J18" s="9" t="n">
        <f aca="false">F18/H18</f>
        <v>34.5</v>
      </c>
      <c r="K18" s="10" t="n">
        <f aca="false">(B18*3)/(H18*3)*100</f>
        <v>50</v>
      </c>
    </row>
    <row r="19" customFormat="false" ht="15" hidden="false" customHeight="false" outlineLevel="0" collapsed="false">
      <c r="A19" s="7" t="s">
        <v>27</v>
      </c>
      <c r="B19" s="8" t="n">
        <v>2</v>
      </c>
      <c r="C19" s="8" t="n">
        <v>2</v>
      </c>
      <c r="D19" s="8" t="n">
        <v>4</v>
      </c>
      <c r="E19" s="8" t="n">
        <v>6</v>
      </c>
      <c r="F19" s="8" t="n">
        <v>107</v>
      </c>
      <c r="G19" s="8" t="n">
        <v>124</v>
      </c>
      <c r="H19" s="8" t="n">
        <f aca="false">B19+C19</f>
        <v>4</v>
      </c>
      <c r="I19" s="8" t="n">
        <f aca="false">F19-G19</f>
        <v>-17</v>
      </c>
      <c r="J19" s="9" t="n">
        <f aca="false">F19/H19</f>
        <v>26.75</v>
      </c>
      <c r="K19" s="10" t="n">
        <f aca="false">(B19*3)/(H19*3)*100</f>
        <v>50</v>
      </c>
    </row>
    <row r="20" customFormat="false" ht="15" hidden="false" customHeight="false" outlineLevel="0" collapsed="false">
      <c r="A20" s="7" t="s">
        <v>31</v>
      </c>
      <c r="B20" s="8" t="n">
        <v>1</v>
      </c>
      <c r="C20" s="8" t="n">
        <v>3</v>
      </c>
      <c r="D20" s="8" t="n">
        <v>5</v>
      </c>
      <c r="E20" s="8" t="n">
        <v>6</v>
      </c>
      <c r="F20" s="8" t="n">
        <v>147</v>
      </c>
      <c r="G20" s="8" t="n">
        <v>154</v>
      </c>
      <c r="H20" s="8" t="n">
        <f aca="false">B20+C20</f>
        <v>4</v>
      </c>
      <c r="I20" s="8" t="n">
        <f aca="false">F20-G20</f>
        <v>-7</v>
      </c>
      <c r="J20" s="9" t="n">
        <f aca="false">F20/H20</f>
        <v>36.75</v>
      </c>
      <c r="K20" s="10" t="n">
        <f aca="false">(B20*3)/(H20*3)*100</f>
        <v>25</v>
      </c>
    </row>
    <row r="21" customFormat="false" ht="15" hidden="false" customHeight="false" outlineLevel="0" collapsed="false">
      <c r="A21" s="7" t="s">
        <v>28</v>
      </c>
      <c r="B21" s="8" t="n">
        <v>0</v>
      </c>
      <c r="C21" s="8" t="n">
        <v>3</v>
      </c>
      <c r="D21" s="8" t="n">
        <v>1</v>
      </c>
      <c r="E21" s="8" t="n">
        <v>6</v>
      </c>
      <c r="F21" s="8" t="n">
        <v>100</v>
      </c>
      <c r="G21" s="8" t="n">
        <v>115</v>
      </c>
      <c r="H21" s="8" t="n">
        <f aca="false">B21+C21</f>
        <v>3</v>
      </c>
      <c r="I21" s="8" t="n">
        <f aca="false">F21-G21</f>
        <v>-15</v>
      </c>
      <c r="J21" s="9" t="n">
        <f aca="false">F21/H21</f>
        <v>33.3333333333333</v>
      </c>
      <c r="K21" s="10" t="n">
        <f aca="false">(B21*3)/(H21*3)*100</f>
        <v>0</v>
      </c>
    </row>
    <row r="22" customFormat="false" ht="15" hidden="false" customHeight="false" outlineLevel="0" collapsed="false">
      <c r="A22" s="7" t="s">
        <v>67</v>
      </c>
      <c r="B22" s="8" t="n">
        <v>0</v>
      </c>
      <c r="C22" s="8" t="n">
        <v>4</v>
      </c>
      <c r="D22" s="8" t="n">
        <v>2</v>
      </c>
      <c r="E22" s="8" t="n">
        <v>8</v>
      </c>
      <c r="F22" s="8" t="n">
        <v>107</v>
      </c>
      <c r="G22" s="8" t="n">
        <v>139</v>
      </c>
      <c r="H22" s="8" t="n">
        <f aca="false">B22+C22</f>
        <v>4</v>
      </c>
      <c r="I22" s="8" t="n">
        <f aca="false">F22-G22</f>
        <v>-32</v>
      </c>
      <c r="J22" s="9" t="n">
        <f aca="false">F22/H22</f>
        <v>26.75</v>
      </c>
      <c r="K22" s="10" t="n">
        <f aca="false">(B22*3)/(H22*3)*100</f>
        <v>0</v>
      </c>
    </row>
    <row r="23" customFormat="false" ht="15" hidden="false" customHeight="false" outlineLevel="0" collapsed="false">
      <c r="A23" s="7" t="s">
        <v>30</v>
      </c>
      <c r="B23" s="8" t="n">
        <v>0</v>
      </c>
      <c r="C23" s="8" t="n">
        <v>3</v>
      </c>
      <c r="D23" s="8" t="n">
        <v>0</v>
      </c>
      <c r="E23" s="8" t="n">
        <v>6</v>
      </c>
      <c r="F23" s="8" t="n">
        <v>71</v>
      </c>
      <c r="G23" s="8" t="n">
        <v>103</v>
      </c>
      <c r="H23" s="8" t="n">
        <f aca="false">B23+C23</f>
        <v>3</v>
      </c>
      <c r="I23" s="8" t="n">
        <f aca="false">F23-G23</f>
        <v>-32</v>
      </c>
      <c r="J23" s="9" t="n">
        <f aca="false">F23/H23</f>
        <v>23.6666666666667</v>
      </c>
      <c r="K23" s="10" t="n">
        <f aca="false">(B23*3)/(H23*3)*100</f>
        <v>0</v>
      </c>
    </row>
    <row r="25" customFormat="false" ht="15" hidden="false" customHeight="false" outlineLevel="0" collapsed="false">
      <c r="A25" s="12" t="s">
        <v>36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7" customFormat="false" ht="15.75" hidden="false" customHeight="true" outlineLevel="0" collapsed="false">
      <c r="A27" s="13" t="s">
        <v>68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customFormat="false" ht="31.5" hidden="false" customHeight="true" outlineLevel="0" collapsed="false">
      <c r="A28" s="14" t="s">
        <v>69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30" customFormat="false" ht="15.75" hidden="false" customHeight="true" outlineLevel="0" collapsed="false">
      <c r="A30" s="13" t="s">
        <v>70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customFormat="false" ht="31.5" hidden="false" customHeight="true" outlineLevel="0" collapsed="false">
      <c r="A31" s="14" t="s">
        <v>71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3" customFormat="false" ht="15.75" hidden="false" customHeight="true" outlineLevel="0" collapsed="false">
      <c r="A33" s="13" t="s">
        <v>72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customFormat="false" ht="15.75" hidden="false" customHeight="true" outlineLevel="0" collapsed="false">
      <c r="A34" s="14" t="s">
        <v>73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6" customFormat="false" ht="15.75" hidden="false" customHeight="true" outlineLevel="0" collapsed="false">
      <c r="A36" s="13" t="s">
        <v>74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customFormat="false" ht="48" hidden="false" customHeight="true" outlineLevel="0" collapsed="false">
      <c r="A37" s="14" t="s">
        <v>75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9" customFormat="false" ht="15.75" hidden="false" customHeight="true" outlineLevel="0" collapsed="false">
      <c r="A39" s="13" t="s">
        <v>76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customFormat="false" ht="15.75" hidden="false" customHeight="true" outlineLevel="0" collapsed="false">
      <c r="A40" s="14" t="s">
        <v>77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2" customFormat="false" ht="15.75" hidden="false" customHeight="true" outlineLevel="0" collapsed="false">
      <c r="A42" s="13" t="s">
        <v>78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customFormat="false" ht="15.75" hidden="false" customHeight="true" outlineLevel="0" collapsed="false">
      <c r="A43" s="14" t="s">
        <v>79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5" customFormat="false" ht="15.75" hidden="false" customHeight="true" outlineLevel="0" collapsed="false">
      <c r="A45" s="13" t="s">
        <v>80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customFormat="false" ht="15.75" hidden="false" customHeight="true" outlineLevel="0" collapsed="false">
      <c r="A46" s="14" t="s">
        <v>81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9" customFormat="false" ht="15" hidden="false" customHeight="false" outlineLevel="0" collapsed="false">
      <c r="A49" s="15" t="s">
        <v>82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67" customFormat="false" ht="15" hidden="false" customHeight="false" outlineLevel="0" collapsed="false">
      <c r="A67" s="15" t="s">
        <v>83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85" customFormat="false" ht="30" hidden="false" customHeight="true" outlineLevel="0" collapsed="false">
      <c r="A85" s="16" t="s">
        <v>84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7" customFormat="false" ht="30" hidden="false" customHeight="true" outlineLevel="0" collapsed="false">
      <c r="A87" s="6" t="s">
        <v>12</v>
      </c>
      <c r="B87" s="6" t="s">
        <v>61</v>
      </c>
      <c r="C87" s="6" t="s">
        <v>62</v>
      </c>
      <c r="D87" s="6" t="s">
        <v>24</v>
      </c>
      <c r="E87" s="6" t="s">
        <v>58</v>
      </c>
    </row>
    <row r="88" customFormat="false" ht="15" hidden="false" customHeight="false" outlineLevel="0" collapsed="false">
      <c r="A88" s="7" t="s">
        <v>32</v>
      </c>
      <c r="B88" s="8" t="n">
        <v>8</v>
      </c>
      <c r="C88" s="8" t="n">
        <v>3</v>
      </c>
      <c r="D88" s="8" t="n">
        <v>100</v>
      </c>
      <c r="E88" s="8" t="n">
        <v>1</v>
      </c>
    </row>
    <row r="89" customFormat="false" ht="15" hidden="false" customHeight="false" outlineLevel="0" collapsed="false">
      <c r="A89" s="7" t="s">
        <v>34</v>
      </c>
      <c r="B89" s="8" t="n">
        <v>8</v>
      </c>
      <c r="C89" s="8" t="n">
        <v>1</v>
      </c>
      <c r="D89" s="8" t="n">
        <v>100</v>
      </c>
      <c r="E89" s="8" t="n">
        <v>2</v>
      </c>
    </row>
    <row r="90" customFormat="false" ht="15" hidden="false" customHeight="false" outlineLevel="0" collapsed="false">
      <c r="A90" s="7" t="s">
        <v>33</v>
      </c>
      <c r="B90" s="8" t="n">
        <v>7</v>
      </c>
      <c r="C90" s="8" t="n">
        <v>2</v>
      </c>
      <c r="D90" s="8" t="n">
        <v>75</v>
      </c>
      <c r="E90" s="8" t="n">
        <v>3</v>
      </c>
    </row>
    <row r="91" customFormat="false" ht="15" hidden="false" customHeight="false" outlineLevel="0" collapsed="false">
      <c r="A91" s="7" t="s">
        <v>25</v>
      </c>
      <c r="B91" s="8" t="n">
        <v>7</v>
      </c>
      <c r="C91" s="8" t="n">
        <v>3</v>
      </c>
      <c r="D91" s="8" t="n">
        <v>75</v>
      </c>
      <c r="E91" s="8" t="n">
        <v>4</v>
      </c>
    </row>
    <row r="92" customFormat="false" ht="15" hidden="false" customHeight="false" outlineLevel="0" collapsed="false">
      <c r="A92" s="7" t="s">
        <v>29</v>
      </c>
      <c r="B92" s="8" t="n">
        <v>4</v>
      </c>
      <c r="C92" s="8" t="n">
        <v>5</v>
      </c>
      <c r="D92" s="8" t="n">
        <v>50</v>
      </c>
      <c r="E92" s="8" t="n">
        <v>5</v>
      </c>
    </row>
    <row r="93" customFormat="false" ht="15" hidden="false" customHeight="false" outlineLevel="0" collapsed="false">
      <c r="A93" s="7" t="s">
        <v>27</v>
      </c>
      <c r="B93" s="8" t="n">
        <v>4</v>
      </c>
      <c r="C93" s="8" t="n">
        <v>6</v>
      </c>
      <c r="D93" s="8" t="n">
        <v>50</v>
      </c>
      <c r="E93" s="8" t="n">
        <v>6</v>
      </c>
    </row>
    <row r="94" customFormat="false" ht="15" hidden="false" customHeight="false" outlineLevel="0" collapsed="false">
      <c r="A94" s="7" t="s">
        <v>31</v>
      </c>
      <c r="B94" s="8" t="n">
        <v>5</v>
      </c>
      <c r="C94" s="8" t="n">
        <v>6</v>
      </c>
      <c r="D94" s="8" t="n">
        <v>25</v>
      </c>
      <c r="E94" s="8" t="n">
        <v>7</v>
      </c>
    </row>
    <row r="95" customFormat="false" ht="15" hidden="false" customHeight="false" outlineLevel="0" collapsed="false">
      <c r="A95" s="7" t="s">
        <v>28</v>
      </c>
      <c r="B95" s="8" t="n">
        <v>1</v>
      </c>
      <c r="C95" s="8" t="n">
        <v>6</v>
      </c>
      <c r="D95" s="8" t="n">
        <v>0</v>
      </c>
      <c r="E95" s="8" t="n">
        <v>8</v>
      </c>
    </row>
    <row r="96" customFormat="false" ht="15" hidden="false" customHeight="false" outlineLevel="0" collapsed="false">
      <c r="A96" s="7" t="s">
        <v>67</v>
      </c>
      <c r="B96" s="8" t="n">
        <v>2</v>
      </c>
      <c r="C96" s="8" t="n">
        <v>8</v>
      </c>
      <c r="D96" s="8" t="n">
        <v>0</v>
      </c>
      <c r="E96" s="8" t="n">
        <v>9</v>
      </c>
    </row>
    <row r="97" customFormat="false" ht="15" hidden="false" customHeight="false" outlineLevel="0" collapsed="false">
      <c r="A97" s="7" t="s">
        <v>30</v>
      </c>
      <c r="B97" s="8" t="n">
        <v>0</v>
      </c>
      <c r="C97" s="8" t="n">
        <v>6</v>
      </c>
      <c r="D97" s="8" t="n">
        <v>0</v>
      </c>
      <c r="E97" s="8" t="n">
        <v>10</v>
      </c>
    </row>
    <row r="99" customFormat="false" ht="27.75" hidden="false" customHeight="true" outlineLevel="0" collapsed="false">
      <c r="A99" s="11" t="s">
        <v>85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1" customFormat="false" ht="27.75" hidden="false" customHeight="true" outlineLevel="0" collapsed="false">
      <c r="A101" s="11" t="s">
        <v>86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</sheetData>
  <mergeCells count="27">
    <mergeCell ref="A1:K1"/>
    <mergeCell ref="B3:K3"/>
    <mergeCell ref="B4:K4"/>
    <mergeCell ref="B5:K5"/>
    <mergeCell ref="B7:F7"/>
    <mergeCell ref="A9:K9"/>
    <mergeCell ref="A11:K11"/>
    <mergeCell ref="A25:K25"/>
    <mergeCell ref="A27:K27"/>
    <mergeCell ref="A28:K28"/>
    <mergeCell ref="A30:K30"/>
    <mergeCell ref="A31:K31"/>
    <mergeCell ref="A33:K33"/>
    <mergeCell ref="A34:K34"/>
    <mergeCell ref="A36:K36"/>
    <mergeCell ref="A37:K37"/>
    <mergeCell ref="A39:K39"/>
    <mergeCell ref="A40:K40"/>
    <mergeCell ref="A42:K42"/>
    <mergeCell ref="A43:K43"/>
    <mergeCell ref="A45:K45"/>
    <mergeCell ref="A46:K46"/>
    <mergeCell ref="A49:K49"/>
    <mergeCell ref="A67:K67"/>
    <mergeCell ref="A85:K85"/>
    <mergeCell ref="A99:K99"/>
    <mergeCell ref="A101:K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2026-08-14T13:42:25Z</dcterms:created>
  <dc:creator>openpyxl</dc:creator>
  <dc:description/>
  <dc:language>pt-BR</dc:language>
  <cp:lastModifiedBy/>
  <dcterms:modified xsi:type="dcterms:W3CDTF">2026-08-14T10:47:20Z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